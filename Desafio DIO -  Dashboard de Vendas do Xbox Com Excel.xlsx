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essi\Downloads\"/>
    </mc:Choice>
  </mc:AlternateContent>
  <xr:revisionPtr revIDLastSave="0" documentId="8_{3E03489D-9267-461B-B7FC-FDFCF6A150BE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32" i="3"/>
  <c r="I297" i="2"/>
  <c r="M297" i="2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<sst xmlns="http://schemas.openxmlformats.org/spreadsheetml/2006/main" count="2022" uniqueCount="324">
  <si>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</si>
  <si>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</si>
  <si>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</si>
  <si>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</si>
  <si>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</si>
  <si>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</si>
  <si>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</si>
  <si>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</si>
  <si>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</si>
  <si>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</si>
  <si>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</si>
  <si>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</si>
  <si>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</si>
  <si>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</si>
  <si>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</si>
  <si>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</si>
  <si>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</si>
  <si>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</si>
  <si>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</si>
  <si>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</si>
  <si>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</si>
  <si>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</si>
  <si>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</si>
  <si>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</si>
  <si>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</si>
  <si>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</si>
  <si>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</si>
  <si>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</si>
  <si>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</si>
  <si>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</si>
  <si>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</si>
  <si>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</si>
  <si>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</si>
  <si>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</si>
  <si>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</si>
  <si>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</si>
  <si>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</si>
  <si>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</si>
  <si>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</si>
  <si>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</si>
  <si>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</si>
  <si>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</si>
  <si>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</si>
  <si>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</si>
  <si>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</si>
  <si>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</si>
  <si>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</si>
  <si>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</si>
  <si>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</si>
  <si>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</si>
  <si>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</si>
  <si>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</si>
  <si>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</si>
  <si>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</si>
  <si>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</si>
  <si>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</si>
  <si>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</si>
  <si>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</si>
  <si>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</si>
  <si>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</si>
  <si>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</si>
  <si>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</si>
  <si>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</si>
  <si>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</si>
  <si>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</si>
  <si>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</si>
  <si>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</si>
  <si>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</si>
  <si>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</si>
  <si>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</si>
  <si>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</si>
  <si>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</si>
  <si>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</si>
  <si>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</si>
  <si>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</si>
  <si>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</si>
  <si>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</si>
  <si>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</si>
  <si>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</si>
  <si>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</si>
  <si>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</si>
  <si>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</si>
  <si>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</si>
  <si>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</si>
  <si>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</si>
  <si>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</si>
  <si>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</si>
  <si>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</si>
  <si>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</si>
  <si>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</si>
  <si>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</si>
  <si>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</si>
  <si>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</si>
  <si>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</si>
  <si>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</si>
  <si>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</si>
  <si>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</si>
  <si>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</si>
  <si>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</si>
  <si>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</si>
  <si>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</si>
  <si>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</si>
  <si>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</si>
  <si>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</si>
  <si>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</si>
  <si>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</si>
  <si>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</si>
  <si>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</si>
  <si>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</si>
  <si>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</si>
  <si>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</si>
  <si>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</si>
  <si>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</si>
  <si>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</si>
  <si>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</si>
  <si>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</si>
  <si>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</si>
  <si>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</si>
  <si>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</si>
  <si>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</si>
  <si>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</si>
  <si>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</si>
  <si>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</si>
  <si>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</si>
  <si>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</si>
  <si>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</si>
  <si>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</si>
  <si>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</si>
  <si>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</si>
  <si>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</si>
  <si>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</si>
  <si>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</si>
  <si>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</si>
  <si>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</si>
  <si>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</si>
  <si>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</si>
  <si>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</si>
  <si>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</si>
  <si>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</si>
  <si>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</si>
  <si>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</si>
  <si>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</si>
  <si>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</si>
  <si>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</si>
  <si>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</si>
  <si>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</si>
  <si>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</si>
  <si>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</si>
  <si>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</si>
  <si>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</si>
  <si>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</si>
  <si>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</si>
  <si>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</si>
  <si>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</si>
  <si>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</si>
  <si>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</si>
  <si>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</si>
  <si>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</si>
  <si>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</si>
  <si>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</si>
  <si>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</si>
  <si>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</si>
  <si>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</si>
  <si>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</si>
  <si>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</si>
  <si>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</si>
  <si>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</si>
  <si>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</si>
  <si>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</si>
  <si>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</si>
  <si>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</si>
  <si>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</si>
  <si>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</si>
  <si>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</si>
  <si>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</si>
  <si>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</si>
  <si>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</si>
  <si>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</si>
  <si>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</si>
  <si>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</si>
  <si>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</si>
  <si>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</si>
  <si>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</si>
  <si>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</si>
  <si>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</si>
  <si>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</si>
  <si>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</si>
  <si>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</si>
  <si>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</si>
  <si>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</si>
  <si>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</si>
  <si>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</si>
  <si>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</si>
  <si>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</si>
  <si>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</si>
  <si>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</si>
  <si>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</si>
  <si>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</si>
  <si>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</si>
  <si>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</si>
  <si>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</si>
  <si>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</si>
  <si>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</si>
  <si>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</si>
  <si>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</si>
  <si>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</si>
  <si>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</si>
  <si>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</si>
  <si>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</si>
  <si>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</si>
  <si>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</si>
  <si>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</si>
  <si>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</si>
  <si>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</si>
  <si>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</si>
  <si>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</si>
  <si>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</si>
  <si>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</si>
  <si>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</si>
  <si>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</si>
  <si>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</si>
  <si>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</si>
  <si>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</si>
  <si>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</si>
  <si>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</si>
  <si>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</si>
  <si>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</si>
  <si>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</si>
  <si>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</si>
  <si>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</si>
  <si>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</si>
  <si>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</si>
  <si>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</si>
  <si>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</si>
  <si>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</si>
  <si>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</si>
  <si>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</si>
  <si>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</si>
  <si>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</si>
  <si>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</si>
  <si>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</si>
  <si>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</si>
  <si>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</si>
  <si>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</si>
  <si>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</si>
  <si>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</si>
  <si>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</si>
  <si>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</si>
  <si>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</si>
  <si>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</si>
  <si>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</si>
  <si>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</si>
  <si>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</si>
  <si>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</si>
  <si>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</si>
  <si>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</si>
  <si>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</si>
  <si>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</si>
  <si>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</si>
  <si>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</si>
  <si>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</si>
  <si>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</si>
  <si>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</si>
  <si>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</si>
  <si>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</si>
  <si>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</si>
  <si>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</si>
  <si>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</si>
  <si>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</si>
  <si>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</si>
  <si>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</si>
  <si>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</si>
  <si>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</si>
  <si>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</si>
  <si>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</si>
  <si>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</si>
  <si>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</si>
  <si>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</si>
  <si>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</si>
  <si>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</si>
  <si>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</si>
  <si>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</si>
  <si>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</si>
  <si>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</si>
  <si>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</si>
  <si>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</si>
  <si>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</si>
  <si>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</si>
  <si>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</si>
  <si>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</si>
  <si>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</si>
  <si>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</si>
  <si>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</si>
  <si>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</si>
  <si>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</si>
  <si>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</si>
  <si>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</si>
  <si>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</si>
  <si>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</si>
  <si>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</si>
  <si>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</si>
  <si>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</si>
  <si>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</si>
  <si>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</si>
  <si>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</si>
  <si>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</si>
  <si>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</si>
  <si>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</si>
  <si>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</si>
  <si>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</si>
  <si>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</si>
  <si>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</si>
  <si>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</si>
  <si>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</si>
  <si>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</si>
  <si>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</si>
  <si>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rPr>
        <b/>
        <sz val="11"/>
        <color theme="1"/>
        <rFont val="Aptos Narrow"/>
        <family val="2"/>
        <scheme val="minor"/>
      </rPr>
      <t>Informação</t>
    </r>
    <r>
      <rPr>
        <sz val="11"/>
        <color theme="1"/>
        <rFont val="Aptos Narrow"/>
        <family val="2"/>
        <scheme val="minor"/>
      </rPr>
      <t xml:space="preserve">: é uma </t>
    </r>
    <r>
      <rPr>
        <i/>
        <u/>
        <sz val="11"/>
        <color theme="1"/>
        <rFont val="Aptos Narrow"/>
        <family val="2"/>
        <scheme val="minor"/>
      </rPr>
      <t>pergunta de negócio</t>
    </r>
    <r>
      <rPr>
        <sz val="11"/>
        <color theme="1"/>
        <rFont val="Aptos Narrow"/>
        <family val="2"/>
        <scheme val="minor"/>
      </rPr>
      <t xml:space="preserve"> respondida através de alguma análise de dados específica</t>
    </r>
  </si>
  <si>
    <r>
      <rPr>
        <b/>
        <sz val="11"/>
        <color theme="1"/>
        <rFont val="Aptos Narrow"/>
        <family val="2"/>
        <scheme val="minor"/>
      </rPr>
      <t>Pergunta de Negócio 1</t>
    </r>
    <r>
      <rPr>
        <sz val="11"/>
        <color theme="1"/>
        <rFont val="Aptos Narrow"/>
        <family val="2"/>
        <scheme val="minor"/>
      </rPr>
      <t xml:space="preserve">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contendo </t>
    </r>
    <r>
      <rPr>
        <b/>
        <sz val="11"/>
        <color theme="1"/>
        <rFont val="Aptos Narrow"/>
        <family val="2"/>
        <scheme val="minor"/>
      </rPr>
      <t>todas as assinaturas agregadas</t>
    </r>
    <r>
      <rPr>
        <sz val="11"/>
        <color theme="1"/>
        <rFont val="Aptos Narrow"/>
        <family val="2"/>
        <scheme val="minor"/>
      </rPr>
      <t>?</t>
    </r>
  </si>
  <si>
    <r>
      <rPr>
        <b/>
        <sz val="11"/>
        <color theme="1"/>
        <rFont val="Aptos Narrow"/>
        <family val="2"/>
        <scheme val="minor"/>
      </rPr>
      <t>Pergunta de Negócio 2</t>
    </r>
    <r>
      <rPr>
        <sz val="11"/>
        <color theme="1"/>
        <rFont val="Aptos Narrow"/>
        <family val="2"/>
        <scheme val="minor"/>
      </rPr>
      <t xml:space="preserve">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anuais,</t>
    </r>
    <r>
      <rPr>
        <sz val="11"/>
        <color theme="1"/>
        <rFont val="Aptos Narrow"/>
        <family val="2"/>
        <scheme val="minor"/>
      </rPr>
      <t xml:space="preserve"> separado por: </t>
    </r>
    <r>
      <rPr>
        <b/>
        <sz val="11"/>
        <color theme="1"/>
        <rFont val="Aptos Narrow"/>
        <family val="2"/>
        <scheme val="minor"/>
      </rPr>
      <t>com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sem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>?</t>
    </r>
  </si>
  <si>
    <t>XBOX GAME PASS SUBSCRIPTIONS SALES</t>
  </si>
  <si>
    <r>
      <rPr>
        <b/>
        <sz val="11"/>
        <color theme="1"/>
        <rFont val="Aptos Narrow"/>
        <family val="2"/>
        <scheme val="minor"/>
      </rPr>
      <t>Pergunta de Negócio 3</t>
    </r>
    <r>
      <rPr>
        <sz val="11"/>
        <color theme="1"/>
        <rFont val="Aptos Narrow"/>
        <family val="2"/>
        <scheme val="minor"/>
      </rPr>
      <t>: Total de Vendas dr Assinaturas do EA Play</t>
    </r>
  </si>
  <si>
    <t>Soma de EA Play Season Pass</t>
  </si>
  <si>
    <r>
      <rPr>
        <b/>
        <sz val="11"/>
        <color theme="1"/>
        <rFont val="Aptos Narrow"/>
        <family val="2"/>
        <scheme val="minor"/>
      </rPr>
      <t>Pergunta de Negócio 4</t>
    </r>
    <r>
      <rPr>
        <sz val="11"/>
        <color theme="1"/>
        <rFont val="Aptos Narrow"/>
        <family val="2"/>
        <scheme val="minor"/>
      </rPr>
      <t>: Total de Vendas dr Assinaturas do Minecraft Season Pass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</si>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</sst>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"/>
      <color rgb="FF22C55E"/>
      <name val="Aptos Narrow"/>
      <family val="2"/>
      <scheme val="minor"/>
    </font>
    <font>
      <b/>
      <sz val="22"/>
      <color rgb="FF22C55E"/>
      <name val="Manrope SemiBold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7" fillId="8" borderId="3" xfId="3" applyFont="1" applyFill="1" applyBorder="1"/>
    <xf numFmtId="0" fontId="0" fillId="0" borderId="0" xfId="0" applyNumberFormat="1"/>
    <xf numFmtId="164" fontId="0" fillId="0" borderId="0" xfId="0" applyNumberFormat="1"/>
    <xf numFmtId="0" fontId="0" fillId="8" borderId="0" xfId="0" applyFill="1"/>
    <xf numFmtId="0" fontId="8" fillId="8" borderId="3" xfId="3" applyFont="1" applyFill="1" applyBorder="1" applyAlignment="1">
      <alignment horizontal="left" vertic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31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92D050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44B557B0-7098-4B5B-8166-7A67F85A5C69}">
      <tableStyleElement type="wholeTable" dxfId="1"/>
      <tableStyleElement type="headerRow" dxfId="0"/>
    </tableStyle>
    <tableStyle name="SlicerStyleLight6 2 2" pivot="0" table="0" count="10" xr9:uid="{5F130B9F-4874-47D9-AB37-5FC98D362F99}">
      <tableStyleElement type="wholeTable" dxfId="3"/>
      <tableStyleElement type="headerRow" dxfId="2"/>
    </tableStyle>
  </tableStyles>
  <colors>
    <mruColors>
      <color rgb="FF22C55E"/>
      <color rgb="FFF7F8FC"/>
      <color rgb="FFE0E0E0"/>
      <color rgb="FFEDEDED"/>
      <color rgb="FFE8E6E9"/>
      <color rgb="FF92D050"/>
      <color rgb="FF5BF6A8"/>
      <color rgb="FF000000"/>
      <color rgb="FF2AE6B1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 -  Dashboard de Vendas do Xbox Com Excel.xlsx]C̳álculos!tbl_annual_total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813897029346671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409296119987182"/>
                  <c:h val="0.1624578539755195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3433309270940008E-2"/>
          <c:y val="3.3210949676258615E-2"/>
          <c:w val="0.95324144093547258"/>
          <c:h val="0.918817678569145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8138970293466712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1A-40AD-AE7D-3A7E8873038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409296119987182"/>
                      <c:h val="0.162457853975519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91A-40AD-AE7D-3A7E887303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A-40AD-AE7D-3A7E8873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822991"/>
        <c:axId val="1260902608"/>
      </c:barChart>
      <c:catAx>
        <c:axId val="130782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902608"/>
        <c:crosses val="autoZero"/>
        <c:auto val="1"/>
        <c:lblAlgn val="ctr"/>
        <c:lblOffset val="100"/>
        <c:noMultiLvlLbl val="0"/>
      </c:catAx>
      <c:valAx>
        <c:axId val="126090260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782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150555</xdr:colOff>
      <xdr:row>0</xdr:row>
      <xdr:rowOff>116756</xdr:rowOff>
    </xdr:from>
    <xdr:to>
      <xdr:col>3</xdr:col>
      <xdr:colOff>0</xdr:colOff>
      <xdr:row>3</xdr:row>
      <xdr:rowOff>9524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989395-151B-456F-B22E-1B8CF678DD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263" b="-2441"/>
        <a:stretch>
          <a:fillRect/>
        </a:stretch>
      </xdr:blipFill>
      <xdr:spPr>
        <a:xfrm>
          <a:off x="1979355" y="116756"/>
          <a:ext cx="706695" cy="66429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66674</xdr:rowOff>
    </xdr:from>
    <xdr:to>
      <xdr:col>1</xdr:col>
      <xdr:colOff>0</xdr:colOff>
      <xdr:row>14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406BAE6D-5108-438E-AACA-FB2187A6A5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09724"/>
              <a:ext cx="1828800" cy="1266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171449</xdr:colOff>
      <xdr:row>3</xdr:row>
      <xdr:rowOff>28575</xdr:rowOff>
    </xdr:from>
    <xdr:to>
      <xdr:col>11</xdr:col>
      <xdr:colOff>161924</xdr:colOff>
      <xdr:row>5</xdr:row>
      <xdr:rowOff>47625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3E2B040B-3B97-4EC3-8E79-54113211FE71}"/>
            </a:ext>
          </a:extLst>
        </xdr:cNvPr>
        <xdr:cNvSpPr/>
      </xdr:nvSpPr>
      <xdr:spPr>
        <a:xfrm>
          <a:off x="2000249" y="800100"/>
          <a:ext cx="57245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1" algn="l"/>
          <a:r>
            <a:rPr lang="pt-BR" sz="120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2</xdr:col>
      <xdr:colOff>361951</xdr:colOff>
      <xdr:row>6</xdr:row>
      <xdr:rowOff>142900</xdr:rowOff>
    </xdr:from>
    <xdr:to>
      <xdr:col>12</xdr:col>
      <xdr:colOff>390528</xdr:colOff>
      <xdr:row>19</xdr:row>
      <xdr:rowOff>14433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BB1BE8C0-7B75-673B-118B-E960D78839FE}"/>
            </a:ext>
          </a:extLst>
        </xdr:cNvPr>
        <xdr:cNvGrpSpPr/>
      </xdr:nvGrpSpPr>
      <xdr:grpSpPr>
        <a:xfrm>
          <a:off x="2438401" y="1266850"/>
          <a:ext cx="5962652" cy="2462333"/>
          <a:chOff x="1952623" y="1481133"/>
          <a:chExt cx="5962652" cy="2462333"/>
        </a:xfrm>
      </xdr:grpSpPr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547A6925-7C36-4EBD-551E-788FD6695690}"/>
              </a:ext>
            </a:extLst>
          </xdr:cNvPr>
          <xdr:cNvGrpSpPr/>
        </xdr:nvGrpSpPr>
        <xdr:grpSpPr>
          <a:xfrm>
            <a:off x="1952623" y="1481133"/>
            <a:ext cx="5962652" cy="2462216"/>
            <a:chOff x="1952623" y="1481133"/>
            <a:chExt cx="5962652" cy="2462216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30F091B1-FC55-0AA8-C974-3018A29AFD93}"/>
                </a:ext>
              </a:extLst>
            </xdr:cNvPr>
            <xdr:cNvSpPr/>
          </xdr:nvSpPr>
          <xdr:spPr>
            <a:xfrm>
              <a:off x="1962150" y="1495423"/>
              <a:ext cx="5953125" cy="244792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24FF1A4F-A5E9-9D87-3E38-18E505ECECC0}"/>
                </a:ext>
              </a:extLst>
            </xdr:cNvPr>
            <xdr:cNvSpPr/>
          </xdr:nvSpPr>
          <xdr:spPr>
            <a:xfrm rot="10800000">
              <a:off x="1952623" y="1481133"/>
              <a:ext cx="5962649" cy="828679"/>
            </a:xfrm>
            <a:prstGeom prst="round2SameRect">
              <a:avLst>
                <a:gd name="adj1" fmla="val 0"/>
                <a:gd name="adj2" fmla="val 34883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99C0577D-4725-7B66-E0A6-A5B62B12F23C}"/>
                </a:ext>
              </a:extLst>
            </xdr:cNvPr>
            <xdr:cNvSpPr txBox="1"/>
          </xdr:nvSpPr>
          <xdr:spPr>
            <a:xfrm>
              <a:off x="2295525" y="1690685"/>
              <a:ext cx="5210175" cy="409575"/>
            </a:xfrm>
            <a:prstGeom prst="rect">
              <a:avLst/>
            </a:prstGeom>
            <a:solidFill>
              <a:srgbClr val="22C55E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TOTAL</a:t>
              </a:r>
              <a:r>
                <a:rPr lang="pt-BR" sz="1800" b="1" baseline="0">
                  <a:solidFill>
                    <a:schemeClr val="bg1"/>
                  </a:solidFill>
                </a:rPr>
                <a:t> DE SUBSCRIPTIONS EA PLAY SEASON PASS 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</xdr:grp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1CB53FE8-67AD-43A4-9E97-690E98167D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4073" y="2176457"/>
            <a:ext cx="1847852" cy="1767009"/>
          </a:xfrm>
          <a:prstGeom prst="rect">
            <a:avLst/>
          </a:prstGeom>
          <a:ln>
            <a:noFill/>
          </a:ln>
        </xdr:spPr>
      </xdr:pic>
      <xdr:sp macro="" textlink="C̳álculos!E22">
        <xdr:nvSpPr>
          <xdr:cNvPr id="41" name="Retângulo 40">
            <a:extLst>
              <a:ext uri="{FF2B5EF4-FFF2-40B4-BE49-F238E27FC236}">
                <a16:creationId xmlns:a16="http://schemas.microsoft.com/office/drawing/2014/main" id="{454EB472-F26B-C3C7-2292-939F65DC29B7}"/>
              </a:ext>
            </a:extLst>
          </xdr:cNvPr>
          <xdr:cNvSpPr/>
        </xdr:nvSpPr>
        <xdr:spPr>
          <a:xfrm>
            <a:off x="4210050" y="2674199"/>
            <a:ext cx="298132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68374810-075B-4AD1-92C4-E8B4390F6913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t> R$ 600,00 </a:t>
            </a:fld>
            <a:endParaRPr lang="pt-BR" sz="44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13</xdr:col>
      <xdr:colOff>428623</xdr:colOff>
      <xdr:row>6</xdr:row>
      <xdr:rowOff>142958</xdr:rowOff>
    </xdr:from>
    <xdr:to>
      <xdr:col>23</xdr:col>
      <xdr:colOff>295275</xdr:colOff>
      <xdr:row>19</xdr:row>
      <xdr:rowOff>14374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2F107548-C7DA-44B4-5E59-38011D286F5A}"/>
            </a:ext>
          </a:extLst>
        </xdr:cNvPr>
        <xdr:cNvGrpSpPr/>
      </xdr:nvGrpSpPr>
      <xdr:grpSpPr>
        <a:xfrm>
          <a:off x="9048748" y="1266908"/>
          <a:ext cx="5962652" cy="2462216"/>
          <a:chOff x="8534398" y="1481133"/>
          <a:chExt cx="5962652" cy="2462216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26E6A63A-A6C2-B25A-D002-6A7E228196E9}"/>
              </a:ext>
            </a:extLst>
          </xdr:cNvPr>
          <xdr:cNvGrpSpPr/>
        </xdr:nvGrpSpPr>
        <xdr:grpSpPr>
          <a:xfrm>
            <a:off x="8534398" y="1481133"/>
            <a:ext cx="5962652" cy="2462216"/>
            <a:chOff x="8534398" y="1481133"/>
            <a:chExt cx="5962652" cy="2462216"/>
          </a:xfrm>
        </xdr:grpSpPr>
        <xdr:sp macro="" textlink="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A3BD4F3B-27C9-BE8A-9A70-F2F9F560AA5B}"/>
                </a:ext>
              </a:extLst>
            </xdr:cNvPr>
            <xdr:cNvSpPr/>
          </xdr:nvSpPr>
          <xdr:spPr>
            <a:xfrm>
              <a:off x="8543925" y="1495423"/>
              <a:ext cx="5953125" cy="244792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EBDEF0A9-8662-EA92-5C2E-99BA38E37B65}"/>
                </a:ext>
              </a:extLst>
            </xdr:cNvPr>
            <xdr:cNvSpPr/>
          </xdr:nvSpPr>
          <xdr:spPr>
            <a:xfrm rot="10800000">
              <a:off x="8534398" y="1481133"/>
              <a:ext cx="5962649" cy="828679"/>
            </a:xfrm>
            <a:prstGeom prst="round2SameRect">
              <a:avLst>
                <a:gd name="adj1" fmla="val 0"/>
                <a:gd name="adj2" fmla="val 34883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0" name="CaixaDeTexto 29">
              <a:extLst>
                <a:ext uri="{FF2B5EF4-FFF2-40B4-BE49-F238E27FC236}">
                  <a16:creationId xmlns:a16="http://schemas.microsoft.com/office/drawing/2014/main" id="{5AA326DE-038D-4944-88AE-9B75616238DC}"/>
                </a:ext>
              </a:extLst>
            </xdr:cNvPr>
            <xdr:cNvSpPr txBox="1"/>
          </xdr:nvSpPr>
          <xdr:spPr>
            <a:xfrm>
              <a:off x="8896350" y="1690685"/>
              <a:ext cx="5210175" cy="409575"/>
            </a:xfrm>
            <a:prstGeom prst="rect">
              <a:avLst/>
            </a:prstGeom>
            <a:solidFill>
              <a:srgbClr val="22C55E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TOTAL</a:t>
              </a:r>
              <a:r>
                <a:rPr lang="pt-BR" sz="1800" b="1" baseline="0">
                  <a:solidFill>
                    <a:schemeClr val="bg1"/>
                  </a:solidFill>
                </a:rPr>
                <a:t> DE SUBSCRIPTIONS MINECRAFT SEASON PASS </a:t>
              </a:r>
              <a:endParaRPr lang="pt-BR" sz="1800" b="1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CB18DDD3-BDA8-4B52-962C-6D306DCDFA22}"/>
              </a:ext>
            </a:extLst>
          </xdr:cNvPr>
          <xdr:cNvGrpSpPr/>
        </xdr:nvGrpSpPr>
        <xdr:grpSpPr>
          <a:xfrm>
            <a:off x="8839198" y="2581328"/>
            <a:ext cx="1914527" cy="957267"/>
            <a:chOff x="3495675" y="5400674"/>
            <a:chExt cx="1549476" cy="752476"/>
          </a:xfrm>
        </xdr:grpSpPr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id="{3B3DA5BC-7E4B-2ACD-18EB-91E56172A4A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9" name="Gráfico 38">
              <a:extLst>
                <a:ext uri="{FF2B5EF4-FFF2-40B4-BE49-F238E27FC236}">
                  <a16:creationId xmlns:a16="http://schemas.microsoft.com/office/drawing/2014/main" id="{810DC34F-2FA4-C489-4EC9-938DF15682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E32">
        <xdr:nvSpPr>
          <xdr:cNvPr id="42" name="Retângulo 41">
            <a:extLst>
              <a:ext uri="{FF2B5EF4-FFF2-40B4-BE49-F238E27FC236}">
                <a16:creationId xmlns:a16="http://schemas.microsoft.com/office/drawing/2014/main" id="{93CFEB65-D77D-4DEE-A4BA-78ED5279C8B5}"/>
              </a:ext>
            </a:extLst>
          </xdr:cNvPr>
          <xdr:cNvSpPr/>
        </xdr:nvSpPr>
        <xdr:spPr>
          <a:xfrm>
            <a:off x="10944225" y="2674199"/>
            <a:ext cx="2981325" cy="7715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fld id="{46D1D7C5-37BF-4BFF-AF2C-56DDB41083A0}" type="TxLink">
              <a:rPr lang="en-US" sz="44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l"/>
              <a:t> R$ 940,00 </a:t>
            </a:fld>
            <a:endParaRPr lang="pt-BR" sz="44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 editAs="absolute">
    <xdr:from>
      <xdr:col>0</xdr:col>
      <xdr:colOff>398689</xdr:colOff>
      <xdr:row>0</xdr:row>
      <xdr:rowOff>123823</xdr:rowOff>
    </xdr:from>
    <xdr:to>
      <xdr:col>0</xdr:col>
      <xdr:colOff>1522639</xdr:colOff>
      <xdr:row>5</xdr:row>
      <xdr:rowOff>104775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89EE1AA6-6E71-4771-BF31-C76632D769FD}"/>
            </a:ext>
          </a:extLst>
        </xdr:cNvPr>
        <xdr:cNvSpPr/>
      </xdr:nvSpPr>
      <xdr:spPr>
        <a:xfrm>
          <a:off x="398689" y="123823"/>
          <a:ext cx="1123950" cy="981077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171450</xdr:colOff>
      <xdr:row>6</xdr:row>
      <xdr:rowOff>28575</xdr:rowOff>
    </xdr:from>
    <xdr:to>
      <xdr:col>0</xdr:col>
      <xdr:colOff>1749879</xdr:colOff>
      <xdr:row>6</xdr:row>
      <xdr:rowOff>254165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3D4BE807-5EF8-4574-B3CB-C277A97507CC}"/>
            </a:ext>
          </a:extLst>
        </xdr:cNvPr>
        <xdr:cNvSpPr/>
      </xdr:nvSpPr>
      <xdr:spPr>
        <a:xfrm>
          <a:off x="171450" y="1152525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Guilherme</a:t>
          </a:r>
        </a:p>
      </xdr:txBody>
    </xdr:sp>
    <xdr:clientData/>
  </xdr:twoCellAnchor>
  <xdr:twoCellAnchor>
    <xdr:from>
      <xdr:col>2</xdr:col>
      <xdr:colOff>361951</xdr:colOff>
      <xdr:row>21</xdr:row>
      <xdr:rowOff>38100</xdr:rowOff>
    </xdr:from>
    <xdr:to>
      <xdr:col>23</xdr:col>
      <xdr:colOff>295275</xdr:colOff>
      <xdr:row>45</xdr:row>
      <xdr:rowOff>114300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97332BE1-D3FA-D4D7-59F0-C885D4A7425F}"/>
            </a:ext>
          </a:extLst>
        </xdr:cNvPr>
        <xdr:cNvGrpSpPr/>
      </xdr:nvGrpSpPr>
      <xdr:grpSpPr>
        <a:xfrm>
          <a:off x="2438401" y="4114800"/>
          <a:ext cx="12572999" cy="4419600"/>
          <a:chOff x="1914526" y="4600575"/>
          <a:chExt cx="12572999" cy="44196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B74DBF8D-6FEA-7AB8-6584-33A625DE6486}"/>
              </a:ext>
            </a:extLst>
          </xdr:cNvPr>
          <xdr:cNvSpPr/>
        </xdr:nvSpPr>
        <xdr:spPr>
          <a:xfrm>
            <a:off x="1914526" y="4953000"/>
            <a:ext cx="12572999" cy="4067175"/>
          </a:xfrm>
          <a:prstGeom prst="roundRect">
            <a:avLst>
              <a:gd name="adj" fmla="val 111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8EB53C2-C24B-4435-8348-AC9529D58C06}"/>
              </a:ext>
            </a:extLst>
          </xdr:cNvPr>
          <xdr:cNvGraphicFramePr>
            <a:graphicFrameLocks/>
          </xdr:cNvGraphicFramePr>
        </xdr:nvGraphicFramePr>
        <xdr:xfrm>
          <a:off x="2991618" y="5321195"/>
          <a:ext cx="10475919" cy="34255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51" name="Retângulo: Cantos Superiores Arredondados 50">
            <a:extLst>
              <a:ext uri="{FF2B5EF4-FFF2-40B4-BE49-F238E27FC236}">
                <a16:creationId xmlns:a16="http://schemas.microsoft.com/office/drawing/2014/main" id="{497B21E4-0299-4BB3-F2DD-430C684A006C}"/>
              </a:ext>
            </a:extLst>
          </xdr:cNvPr>
          <xdr:cNvSpPr/>
        </xdr:nvSpPr>
        <xdr:spPr>
          <a:xfrm>
            <a:off x="1924051" y="4600575"/>
            <a:ext cx="12553950" cy="71437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DBADEF7C-1975-540E-3BF9-A23BAB815E0D}"/>
              </a:ext>
            </a:extLst>
          </xdr:cNvPr>
          <xdr:cNvSpPr txBox="1"/>
        </xdr:nvSpPr>
        <xdr:spPr>
          <a:xfrm>
            <a:off x="2524126" y="4719637"/>
            <a:ext cx="11353800" cy="476250"/>
          </a:xfrm>
          <a:prstGeom prst="rect">
            <a:avLst/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400" b="1">
                <a:solidFill>
                  <a:schemeClr val="bg1"/>
                </a:solidFill>
              </a:rPr>
              <a:t>TOTAL</a:t>
            </a:r>
            <a:r>
              <a:rPr lang="pt-BR" sz="2400" b="1" baseline="0">
                <a:solidFill>
                  <a:schemeClr val="bg1"/>
                </a:solidFill>
              </a:rPr>
              <a:t> SUBSCRIPTIONS XBOX GAME PASS</a:t>
            </a:r>
            <a:endParaRPr lang="pt-BR" sz="24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ssias Cruz" refreshedDate="46314.398868750002" createdVersion="8" refreshedVersion="8" minRefreshableVersion="3" recordCount="295" xr:uid="{39206351-A3A2-411F-9C96-2D188659CCC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886455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6678B-8C1F-41A1-927B-57A4AF2A4E0F}" name="Tabela dinâ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E7A34-1ADA-4A09-8DD0-65AE3050D97A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7C212-A0CC-4C5F-B247-E55F448634D9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5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45BF4CA-853D-4C36-AE4E-C588FCBE0F90}" sourceName="Subscription Type">
  <pivotTables>
    <pivotTable tabId="3" name="tbl_annual_total"/>
    <pivotTable tabId="3" name="Tabela dinâmica3"/>
    <pivotTable tabId="3" name="Tabela dinâmica4"/>
  </pivotTables>
  <data>
    <tabular pivotCacheId="98864552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CDDC91C-1024-4A04-981B-45AD8B08F2C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7" totalsRowCount="1" dataDxfId="30">
  <autoFilter ref="A1:M296" xr:uid="{34E0E886-4200-4B36-97B3-63DB74FF40A0}">
    <filterColumn colId="2">
      <filters>
        <filter val="Ultimate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29" totalsRowDxfId="16"/>
    <tableColumn id="2" xr3:uid="{53DD39D0-2220-4121-9E9D-4EAA7E151C0F}" name="Name" dataDxfId="28" totalsRowDxfId="15"/>
    <tableColumn id="3" xr3:uid="{4F5FF271-4C57-4BE0-8F2C-F82C8551625C}" name="Plan" dataDxfId="27" totalsRowDxfId="14"/>
    <tableColumn id="4" xr3:uid="{8C17EB93-79B9-4E55-B8F7-BEB82F8253E9}" name="Start Date" dataDxfId="26" totalsRowDxfId="13"/>
    <tableColumn id="5" xr3:uid="{48CEDF9B-1689-482A-A828-5CCE7713264A}" name="Auto Renewal" dataDxfId="25" totalsRowDxfId="12"/>
    <tableColumn id="6" xr3:uid="{78B82374-9AA7-4E38-AE4F-78CDE6C83720}" name="Subscription Price" dataDxfId="24" totalsRowDxfId="11" dataCellStyle="Moeda" totalsRowCellStyle="Moeda"/>
    <tableColumn id="7" xr3:uid="{F2433F68-AF33-49D0-B1FB-19A396074EDE}" name="Subscription Type" dataDxfId="23" totalsRowDxfId="10"/>
    <tableColumn id="8" xr3:uid="{FD4D9C95-F6E5-4933-9068-A71FF7DF9343}" name="EA Play Season Pass" dataDxfId="22" totalsRowDxfId="9"/>
    <tableColumn id="13" xr3:uid="{978DD0D2-834E-4CE4-A39B-30976086932F}" name="EA Play Season Pass_x000a_Price" totalsRowFunction="sum" dataDxfId="21" totalsRowDxfId="8" dataCellStyle="Moeda" totalsRowCellStyle="Moeda"/>
    <tableColumn id="9" xr3:uid="{6E29F111-C395-4580-9DAD-3407D9E8B1A4}" name="Minecraft Season Pass" dataDxfId="20" totalsRowDxfId="7"/>
    <tableColumn id="10" xr3:uid="{EF544EAA-7F25-4FD5-A10E-8E62804DB9E3}" name="Minecraft Season Pass Price" dataDxfId="19" totalsRowDxfId="6" dataCellStyle="Moeda" totalsRowCellStyle="Moeda"/>
    <tableColumn id="11" xr3:uid="{7F6EB64A-1F07-4E48-9F0F-AC7D9DCD26F8}" name="Coupon Value" dataDxfId="18" totalsRowDxfId="5" dataCellStyle="Moeda" totalsRowCellStyle="Moeda"/>
    <tableColumn id="12" xr3:uid="{2B04ABC8-DE6F-426E-ADC0-D8AFC68CA58E}" name="Total Value" totalsRowFunction="sum" dataDxfId="17" totalsRowDxfId="4" dataCellStyle="Moeda" totalsRow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topLeftCell="C1" zoomScale="90" zoomScaleNormal="90" workbookViewId="0">
      <selection activeCell="I13" sqref="I13:I29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2.4414062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  <row r="297" spans="1:13" x14ac:dyDescent="0.3">
      <c r="A297" s="8"/>
      <c r="B297" s="8"/>
      <c r="C297" s="8"/>
      <c r="D297" s="8"/>
      <c r="E297" s="8"/>
      <c r="F297" s="11"/>
      <c r="G297" s="8"/>
      <c r="H297" s="8"/>
      <c r="I297" s="11">
        <f>SUBTOTAL(109,Tabela1[EA Play Season Pass
Price])</f>
        <v>600</v>
      </c>
      <c r="J297" s="8"/>
      <c r="K297" s="11"/>
      <c r="L297" s="11"/>
      <c r="M297" s="11">
        <f>SUBTOTAL(109,Tabela1[Total Value])</f>
        <v>1186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2"/>
  <sheetViews>
    <sheetView showGridLines="0" topLeftCell="A10" workbookViewId="0">
      <selection activeCell="M21" sqref="M21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7.88671875" customWidth="1"/>
    <col min="5" max="5" width="13.441406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t="s">
        <v>316</v>
      </c>
    </row>
    <row r="4" spans="2:3" x14ac:dyDescent="0.3">
      <c r="B4" t="s">
        <v>317</v>
      </c>
    </row>
    <row r="5" spans="2:3" x14ac:dyDescent="0.3">
      <c r="B5" t="s">
        <v>318</v>
      </c>
    </row>
    <row r="7" spans="2:3" x14ac:dyDescent="0.3">
      <c r="B7" s="12" t="s">
        <v>16</v>
      </c>
      <c r="C7" t="s">
        <v>24</v>
      </c>
    </row>
    <row r="9" spans="2:3" x14ac:dyDescent="0.3">
      <c r="B9" s="12" t="s">
        <v>313</v>
      </c>
      <c r="C9" t="s">
        <v>315</v>
      </c>
    </row>
    <row r="10" spans="2:3" x14ac:dyDescent="0.3">
      <c r="B10" s="13" t="s">
        <v>23</v>
      </c>
      <c r="C10" s="14">
        <v>217</v>
      </c>
    </row>
    <row r="11" spans="2:3" x14ac:dyDescent="0.3">
      <c r="B11" s="13" t="s">
        <v>19</v>
      </c>
      <c r="C11" s="14">
        <v>1537</v>
      </c>
    </row>
    <row r="12" spans="2:3" x14ac:dyDescent="0.3">
      <c r="B12" s="13" t="s">
        <v>314</v>
      </c>
      <c r="C12" s="14">
        <v>1754</v>
      </c>
    </row>
    <row r="14" spans="2:3" x14ac:dyDescent="0.3">
      <c r="B14" t="s">
        <v>320</v>
      </c>
    </row>
    <row r="16" spans="2:3" x14ac:dyDescent="0.3">
      <c r="B16" s="12" t="s">
        <v>16</v>
      </c>
      <c r="C16" t="s">
        <v>24</v>
      </c>
    </row>
    <row r="18" spans="2:5" x14ac:dyDescent="0.3">
      <c r="B18" s="12" t="s">
        <v>313</v>
      </c>
      <c r="C18" t="s">
        <v>321</v>
      </c>
    </row>
    <row r="19" spans="2:5" x14ac:dyDescent="0.3">
      <c r="B19" s="13" t="s">
        <v>22</v>
      </c>
      <c r="C19" s="16">
        <v>0</v>
      </c>
    </row>
    <row r="20" spans="2:5" x14ac:dyDescent="0.3">
      <c r="B20" s="13" t="s">
        <v>26</v>
      </c>
      <c r="C20" s="16">
        <v>0</v>
      </c>
    </row>
    <row r="21" spans="2:5" x14ac:dyDescent="0.3">
      <c r="B21" s="13" t="s">
        <v>18</v>
      </c>
      <c r="C21" s="16">
        <v>600</v>
      </c>
    </row>
    <row r="22" spans="2:5" x14ac:dyDescent="0.3">
      <c r="B22" s="13" t="s">
        <v>314</v>
      </c>
      <c r="C22" s="16">
        <v>600</v>
      </c>
      <c r="E22" s="17">
        <f>C22</f>
        <v>600</v>
      </c>
    </row>
    <row r="24" spans="2:5" x14ac:dyDescent="0.3">
      <c r="B24" t="s">
        <v>322</v>
      </c>
    </row>
    <row r="26" spans="2:5" x14ac:dyDescent="0.3">
      <c r="B26" s="12" t="s">
        <v>16</v>
      </c>
      <c r="C26" t="s">
        <v>24</v>
      </c>
    </row>
    <row r="28" spans="2:5" x14ac:dyDescent="0.3">
      <c r="B28" s="12" t="s">
        <v>313</v>
      </c>
      <c r="C28" t="s">
        <v>323</v>
      </c>
    </row>
    <row r="29" spans="2:5" x14ac:dyDescent="0.3">
      <c r="B29" s="13" t="s">
        <v>22</v>
      </c>
      <c r="C29" s="14">
        <v>0</v>
      </c>
    </row>
    <row r="30" spans="2:5" x14ac:dyDescent="0.3">
      <c r="B30" s="13" t="s">
        <v>26</v>
      </c>
      <c r="C30" s="14">
        <v>540</v>
      </c>
    </row>
    <row r="31" spans="2:5" x14ac:dyDescent="0.3">
      <c r="B31" s="13" t="s">
        <v>18</v>
      </c>
      <c r="C31" s="14">
        <v>400</v>
      </c>
    </row>
    <row r="32" spans="2:5" x14ac:dyDescent="0.3">
      <c r="B32" s="13" t="s">
        <v>314</v>
      </c>
      <c r="C32" s="14">
        <v>940</v>
      </c>
      <c r="E32" s="14">
        <f>C32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7"/>
  <sheetViews>
    <sheetView showGridLines="0" tabSelected="1" zoomScale="80" zoomScaleNormal="80" workbookViewId="0">
      <selection activeCell="AA18" sqref="AA18"/>
    </sheetView>
  </sheetViews>
  <sheetFormatPr defaultRowHeight="14.4" x14ac:dyDescent="0.3"/>
  <cols>
    <col min="1" max="1" width="26.6640625" style="4" customWidth="1"/>
    <col min="2" max="2" width="3.5546875" style="7" customWidth="1"/>
    <col min="3" max="11" width="8.88671875" style="7"/>
    <col min="12" max="12" width="6.5546875" style="7" customWidth="1"/>
    <col min="13" max="16384" width="8.88671875" style="7"/>
  </cols>
  <sheetData>
    <row r="1" spans="1:13" customFormat="1" x14ac:dyDescent="0.3">
      <c r="A1" s="4"/>
    </row>
    <row r="2" spans="1:13" customFormat="1" ht="39" customHeight="1" thickBot="1" x14ac:dyDescent="0.4">
      <c r="A2" s="4"/>
      <c r="C2" s="18"/>
      <c r="D2" s="19" t="s">
        <v>319</v>
      </c>
      <c r="E2" s="15"/>
      <c r="F2" s="15"/>
      <c r="G2" s="15"/>
      <c r="H2" s="15"/>
      <c r="I2" s="15"/>
      <c r="J2" s="15"/>
      <c r="K2" s="15"/>
      <c r="L2" s="15"/>
      <c r="M2" s="15"/>
    </row>
    <row r="3" spans="1:13" customFormat="1" ht="8.25" customHeight="1" thickTop="1" x14ac:dyDescent="0.3">
      <c r="A3" s="4"/>
    </row>
    <row r="4" spans="1:13" ht="7.5" customHeight="1" x14ac:dyDescent="0.3"/>
    <row r="5" spans="1:13" ht="10.5" customHeight="1" x14ac:dyDescent="0.3"/>
    <row r="6" spans="1:13" ht="9.75" customHeight="1" x14ac:dyDescent="0.3"/>
    <row r="7" spans="1:13" ht="33" customHeigh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Messias Cruz</cp:lastModifiedBy>
  <dcterms:created xsi:type="dcterms:W3CDTF">2024-12-19T13:13:10Z</dcterms:created>
  <dcterms:modified xsi:type="dcterms:W3CDTF">2026-10-19T15:55:19Z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